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AN MEM QL TIEC\GUI\"/>
    </mc:Choice>
  </mc:AlternateContent>
  <xr:revisionPtr revIDLastSave="0" documentId="13_ncr:1_{CEED1C55-7FD0-4206-B8F1-52300F9138B4}" xr6:coauthVersionLast="47" xr6:coauthVersionMax="47" xr10:uidLastSave="{00000000-0000-0000-0000-000000000000}"/>
  <bookViews>
    <workbookView xWindow="-120" yWindow="-120" windowWidth="29040" windowHeight="15720" activeTab="1" xr2:uid="{CED28BE1-6202-4BC7-8BA8-13E8D8445486}"/>
  </bookViews>
  <sheets>
    <sheet name="QUYET TOAN 01" sheetId="7" r:id="rId1"/>
    <sheet name="QUYET TOAN 02" sheetId="6" r:id="rId2"/>
  </sheets>
  <definedNames>
    <definedName name="_xlnm.Print_Area" localSheetId="0">'QUYET TOAN 01'!$A$1:$J$30</definedName>
    <definedName name="_xlnm.Print_Area" localSheetId="1">'QUYET TOAN 02'!$A$1:$J$35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7" l="1"/>
  <c r="J23" i="7"/>
  <c r="J22" i="7"/>
  <c r="J21" i="7"/>
  <c r="J24" i="7" s="1"/>
  <c r="J18" i="7"/>
  <c r="J17" i="7"/>
  <c r="J16" i="7"/>
  <c r="J15" i="7"/>
  <c r="J14" i="7"/>
  <c r="J13" i="7"/>
  <c r="J12" i="7"/>
  <c r="J19" i="7" s="1"/>
  <c r="J11" i="7"/>
  <c r="F30" i="6"/>
  <c r="J20" i="6"/>
  <c r="J19" i="6"/>
  <c r="J16" i="6"/>
  <c r="J15" i="6"/>
  <c r="J14" i="6"/>
  <c r="J13" i="6"/>
  <c r="J12" i="6"/>
  <c r="J11" i="6"/>
  <c r="J25" i="7" l="1"/>
  <c r="J27" i="7" s="1"/>
  <c r="J17" i="6"/>
  <c r="J21" i="6"/>
</calcChain>
</file>

<file path=xl/sharedStrings.xml><?xml version="1.0" encoding="utf-8"?>
<sst xmlns="http://schemas.openxmlformats.org/spreadsheetml/2006/main" count="73" uniqueCount="35">
  <si>
    <t>KHÁCH HÀNG</t>
  </si>
  <si>
    <t>Ngày tiệc</t>
  </si>
  <si>
    <t>CÔNG TY TNHH GIẢI TRÍ HOÀNG HẢI</t>
  </si>
  <si>
    <t>TRUNG TÂM HN-TC QUEEN PLAZA KỲ HÒA</t>
  </si>
  <si>
    <t xml:space="preserve">BẢNG QUYẾT TOÁN TIỆC </t>
  </si>
  <si>
    <t>KH</t>
  </si>
  <si>
    <t>:</t>
  </si>
  <si>
    <t>Bàn CT</t>
  </si>
  <si>
    <t>NVKD</t>
  </si>
  <si>
    <t>Set up</t>
  </si>
  <si>
    <t>HĐ số</t>
  </si>
  <si>
    <t>Sảnh Tiệc</t>
  </si>
  <si>
    <t>Ngày SK</t>
  </si>
  <si>
    <t>Thời gian</t>
  </si>
  <si>
    <t>STT</t>
  </si>
  <si>
    <t>DIỄN GIẢI</t>
  </si>
  <si>
    <t>ĐVT</t>
  </si>
  <si>
    <t>SỐ LƯỢNG</t>
  </si>
  <si>
    <t>ĐƠN GIÁ (VNĐ)</t>
  </si>
  <si>
    <t>THÀNH TIỀN (VNĐ)</t>
  </si>
  <si>
    <t>CỘNG (1):</t>
  </si>
  <si>
    <t>DỊCH VỤ PHÁT SINH</t>
  </si>
  <si>
    <t>CỘNG (2):</t>
  </si>
  <si>
    <t>TỔNG CỘNG (1) + (2):</t>
  </si>
  <si>
    <t>Phí Phục vụ 5%:</t>
  </si>
  <si>
    <t>TỔNG CỘNG CHƯA VAT:</t>
  </si>
  <si>
    <r>
      <t>VAT 8% (</t>
    </r>
    <r>
      <rPr>
        <b/>
        <sz val="13"/>
        <color rgb="FF000000"/>
        <rFont val="Times New Roman"/>
        <family val="1"/>
      </rPr>
      <t>Thức ăn, Nước suối, Dịch vụ</t>
    </r>
    <r>
      <rPr>
        <b/>
        <sz val="13"/>
        <color indexed="8"/>
        <rFont val="Times New Roman"/>
        <family val="1"/>
      </rPr>
      <t>,</t>
    </r>
    <r>
      <rPr>
        <b/>
        <sz val="13"/>
        <color rgb="FF000000"/>
        <rFont val="Times New Roman"/>
        <family val="1"/>
      </rPr>
      <t xml:space="preserve"> Phí phục vụ</t>
    </r>
    <r>
      <rPr>
        <b/>
        <sz val="13"/>
        <color indexed="8"/>
        <rFont val="Times New Roman"/>
        <family val="1"/>
      </rPr>
      <t>)</t>
    </r>
  </si>
  <si>
    <t>VAT 10% (Phí thuê sảnh, Bia, Rượu, Nước ngọt):</t>
  </si>
  <si>
    <t>TỔNG CỘNG:</t>
  </si>
  <si>
    <t>TRỪ CỌC:</t>
  </si>
  <si>
    <t>THANH TOÁN:</t>
  </si>
  <si>
    <t>QUẢN LÝ SẢNH</t>
  </si>
  <si>
    <t xml:space="preserve">      NGƯỜI LẬP BẢNG</t>
  </si>
  <si>
    <t xml:space="preserve">: </t>
  </si>
  <si>
    <t>Giờ tiệc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</si>
</sst>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sz val="15"/>
      <color indexed="10"/>
      <name val="Times New Roman"/>
      <family val="1"/>
    </font>
    <font>
      <b/>
      <sz val="14"/>
      <color indexed="10"/>
      <name val="Times New Roman"/>
      <family val="1"/>
    </font>
    <font>
      <b/>
      <sz val="13"/>
      <color indexed="8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FF0000"/>
      <name val="Times New Roman"/>
      <family val="1"/>
    </font>
    <font>
      <b/>
      <i/>
      <sz val="13"/>
      <name val="Times New Roman"/>
      <family val="1"/>
    </font>
    <font>
      <b/>
      <sz val="12"/>
      <color theme="1"/>
      <name val="Times New Roman"/>
      <family val="1"/>
    </font>
    <font>
      <b/>
      <i/>
      <sz val="13"/>
      <color rgb="FFFF0000"/>
      <name val="Times New Roman"/>
      <family val="1"/>
    </font>
    <font>
      <i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 wrapText="1"/>
    </xf>
    <xf numFmtId="164" fontId="12" fillId="0" borderId="0" xfId="1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3" fontId="11" fillId="0" borderId="0" xfId="1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3" fontId="14" fillId="0" borderId="9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11" fillId="0" borderId="12" xfId="0" applyFont="1" applyBorder="1" applyAlignment="1">
      <alignment horizontal="left" vertical="center"/>
    </xf>
    <xf numFmtId="3" fontId="11" fillId="0" borderId="10" xfId="1" applyNumberFormat="1" applyFont="1" applyBorder="1" applyAlignment="1">
      <alignment horizontal="left" vertical="center"/>
    </xf>
    <xf numFmtId="3" fontId="11" fillId="0" borderId="11" xfId="1" applyNumberFormat="1" applyFont="1" applyBorder="1" applyAlignment="1">
      <alignment horizontal="left" vertical="center"/>
    </xf>
    <xf numFmtId="3" fontId="10" fillId="0" borderId="12" xfId="1" quotePrefix="1" applyNumberFormat="1" applyFont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12" fillId="0" borderId="0" xfId="0" applyFont="1"/>
    <xf numFmtId="164" fontId="12" fillId="0" borderId="0" xfId="1" applyNumberFormat="1" applyFont="1"/>
    <xf numFmtId="1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right" vertical="center"/>
    </xf>
    <xf numFmtId="164" fontId="13" fillId="0" borderId="0" xfId="1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10" fillId="0" borderId="1" xfId="1" applyNumberFormat="1" applyFont="1" applyBorder="1" applyAlignment="1">
      <alignment horizontal="right" vertical="center"/>
    </xf>
    <xf numFmtId="43" fontId="12" fillId="0" borderId="0" xfId="1" applyFont="1" applyAlignment="1">
      <alignment vertical="center"/>
    </xf>
    <xf numFmtId="164" fontId="16" fillId="0" borderId="1" xfId="1" applyNumberFormat="1" applyFont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17" fillId="0" borderId="1" xfId="1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4" borderId="0" xfId="0" applyFill="1" applyAlignment="1">
      <alignment vertical="center"/>
    </xf>
    <xf numFmtId="0" fontId="1" fillId="0" borderId="0" xfId="0" quotePrefix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left" vertical="center" wrapText="1"/>
    </xf>
    <xf numFmtId="3" fontId="9" fillId="0" borderId="0" xfId="0" applyNumberFormat="1" applyFont="1" applyAlignment="1">
      <alignment vertical="center" wrapText="1"/>
    </xf>
    <xf numFmtId="3" fontId="9" fillId="0" borderId="9" xfId="0" applyNumberFormat="1" applyFont="1" applyBorder="1" applyAlignment="1">
      <alignment vertical="center" wrapText="1"/>
    </xf>
    <xf numFmtId="14" fontId="9" fillId="0" borderId="9" xfId="0" applyNumberFormat="1" applyFont="1" applyBorder="1" applyAlignment="1">
      <alignment horizontal="left" vertical="center"/>
    </xf>
    <xf numFmtId="0" fontId="12" fillId="0" borderId="11" xfId="0" applyFont="1" applyBorder="1"/>
    <xf numFmtId="1" fontId="11" fillId="0" borderId="1" xfId="0" applyNumberFormat="1" applyFont="1" applyBorder="1" applyAlignment="1">
      <alignment horizontal="center" vertical="center"/>
    </xf>
    <xf numFmtId="164" fontId="16" fillId="0" borderId="1" xfId="1" applyNumberFormat="1" applyFont="1" applyFill="1" applyBorder="1" applyAlignment="1">
      <alignment horizontal="right" vertical="center"/>
    </xf>
    <xf numFmtId="164" fontId="16" fillId="2" borderId="1" xfId="1" applyNumberFormat="1" applyFont="1" applyFill="1" applyBorder="1" applyAlignment="1">
      <alignment horizontal="right" vertical="center"/>
    </xf>
    <xf numFmtId="164" fontId="9" fillId="2" borderId="1" xfId="1" applyNumberFormat="1" applyFont="1" applyFill="1" applyBorder="1" applyAlignment="1">
      <alignment horizontal="right" vertical="center"/>
    </xf>
    <xf numFmtId="164" fontId="19" fillId="0" borderId="1" xfId="1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20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3" fontId="11" fillId="0" borderId="2" xfId="1" applyNumberFormat="1" applyFont="1" applyBorder="1" applyAlignment="1">
      <alignment horizontal="right" vertical="center"/>
    </xf>
    <xf numFmtId="3" fontId="11" fillId="0" borderId="4" xfId="1" applyNumberFormat="1" applyFont="1" applyBorder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4" fontId="9" fillId="0" borderId="11" xfId="0" applyNumberFormat="1" applyFont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3" fontId="9" fillId="3" borderId="2" xfId="1" applyNumberFormat="1" applyFont="1" applyFill="1" applyBorder="1" applyAlignment="1">
      <alignment horizontal="center" vertical="center" wrapText="1"/>
    </xf>
    <xf numFmtId="3" fontId="9" fillId="3" borderId="4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3" fontId="9" fillId="0" borderId="6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left" vertical="center" wrapText="1"/>
    </xf>
    <xf numFmtId="165" fontId="18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11" fillId="0" borderId="1" xfId="1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925F-0E68-4C4C-BBE1-23064D4AA7B3}">
  <sheetPr>
    <pageSetUpPr fitToPage="1"/>
  </sheetPr>
  <dimension ref="B1:P34"/>
  <sheetViews>
    <sheetView zoomScaleNormal="100" workbookViewId="0">
      <selection activeCell="N21" sqref="N21"/>
    </sheetView>
  </sheetViews>
  <sheetFormatPr defaultRowHeight="15" x14ac:dyDescent="0.25"/>
  <cols>
    <col min="1" max="1" width="2.42578125" customWidth="1"/>
    <col min="2" max="2" width="6" customWidth="1"/>
    <col min="3" max="3" width="4.85546875" customWidth="1"/>
    <col min="4" max="4" width="2" customWidth="1"/>
    <col min="5" max="5" width="25.28515625" customWidth="1"/>
    <col min="6" max="6" width="11.28515625" customWidth="1"/>
    <col min="7" max="7" width="12.28515625" customWidth="1"/>
    <col min="8" max="8" width="12.140625" customWidth="1"/>
    <col min="9" max="9" width="2" customWidth="1"/>
    <col min="10" max="10" width="21" style="65" customWidth="1"/>
    <col min="11" max="11" width="5.42578125" style="4" customWidth="1"/>
    <col min="12" max="12" width="10.28515625" style="4" bestFit="1" customWidth="1"/>
    <col min="13" max="13" width="16.42578125" style="3" bestFit="1" customWidth="1"/>
    <col min="14" max="14" width="9.140625" style="4"/>
    <col min="15" max="15" width="14.42578125" style="3" bestFit="1" customWidth="1"/>
    <col min="16" max="16" width="9.140625" style="4"/>
  </cols>
  <sheetData>
    <row r="1" spans="2:16" ht="18.75" x14ac:dyDescent="0.25">
      <c r="B1" s="2" t="s">
        <v>2</v>
      </c>
      <c r="C1" s="2"/>
      <c r="D1" s="2"/>
      <c r="E1" s="2"/>
      <c r="F1" s="2"/>
      <c r="G1" s="2"/>
      <c r="H1" s="2"/>
      <c r="I1" s="2"/>
      <c r="J1" s="47"/>
      <c r="K1" s="48"/>
      <c r="L1" s="49"/>
    </row>
    <row r="2" spans="2:16" ht="18.75" x14ac:dyDescent="0.25">
      <c r="B2" s="23" t="s">
        <v>3</v>
      </c>
      <c r="C2" s="6"/>
      <c r="D2" s="6"/>
      <c r="E2" s="6"/>
      <c r="F2" s="6"/>
      <c r="G2" s="6"/>
      <c r="H2" s="6"/>
      <c r="I2" s="6"/>
      <c r="J2" s="50"/>
    </row>
    <row r="3" spans="2:16" ht="18.75" x14ac:dyDescent="0.25">
      <c r="B3" s="7"/>
      <c r="C3" s="7"/>
      <c r="D3" s="7"/>
      <c r="E3" s="7"/>
      <c r="F3" s="7"/>
      <c r="G3" s="7"/>
      <c r="H3" s="7"/>
      <c r="I3" s="7"/>
      <c r="J3" s="50"/>
    </row>
    <row r="4" spans="2:16" ht="19.5" x14ac:dyDescent="0.25">
      <c r="B4" s="96" t="s">
        <v>4</v>
      </c>
      <c r="C4" s="96"/>
      <c r="D4" s="96"/>
      <c r="E4" s="96"/>
      <c r="F4" s="96"/>
      <c r="G4" s="96"/>
      <c r="H4" s="96"/>
      <c r="I4" s="96"/>
      <c r="J4" s="96"/>
    </row>
    <row r="5" spans="2:16" ht="18.75" x14ac:dyDescent="0.25">
      <c r="B5" s="8"/>
      <c r="C5" s="8"/>
      <c r="D5" s="8"/>
      <c r="E5" s="8"/>
      <c r="F5" s="8"/>
      <c r="G5" s="8"/>
      <c r="H5" s="8"/>
      <c r="I5" s="8"/>
      <c r="J5" s="51"/>
    </row>
    <row r="6" spans="2:16" s="34" customFormat="1" ht="26.25" customHeight="1" x14ac:dyDescent="0.25">
      <c r="B6" s="97" t="s">
        <v>5</v>
      </c>
      <c r="C6" s="98"/>
      <c r="D6" s="9" t="s">
        <v>6</v>
      </c>
      <c r="E6" s="99"/>
      <c r="F6" s="99"/>
      <c r="G6" s="99"/>
      <c r="H6" s="10" t="s">
        <v>7</v>
      </c>
      <c r="I6" s="11" t="s">
        <v>6</v>
      </c>
      <c r="J6" s="52"/>
      <c r="K6" s="14"/>
      <c r="L6" s="14"/>
      <c r="M6" s="13"/>
      <c r="N6" s="14"/>
      <c r="O6" s="13"/>
      <c r="P6" s="14"/>
    </row>
    <row r="7" spans="2:16" s="34" customFormat="1" ht="24" customHeight="1" x14ac:dyDescent="0.25">
      <c r="B7" s="100" t="s">
        <v>8</v>
      </c>
      <c r="C7" s="101"/>
      <c r="D7" s="15" t="s">
        <v>33</v>
      </c>
      <c r="E7" s="53"/>
      <c r="F7" s="53"/>
      <c r="G7" s="54"/>
      <c r="H7" s="18" t="s">
        <v>9</v>
      </c>
      <c r="I7" s="23" t="s">
        <v>6</v>
      </c>
      <c r="J7" s="20"/>
      <c r="K7" s="14"/>
      <c r="L7" s="14"/>
      <c r="M7" s="13"/>
      <c r="N7" s="14"/>
      <c r="O7" s="13"/>
      <c r="P7" s="14"/>
    </row>
    <row r="8" spans="2:16" s="34" customFormat="1" ht="24" customHeight="1" x14ac:dyDescent="0.25">
      <c r="B8" s="102" t="s">
        <v>10</v>
      </c>
      <c r="C8" s="103"/>
      <c r="D8" s="22" t="s">
        <v>6</v>
      </c>
      <c r="E8" s="104"/>
      <c r="F8" s="104"/>
      <c r="H8" s="18" t="s">
        <v>11</v>
      </c>
      <c r="I8" s="23" t="s">
        <v>6</v>
      </c>
      <c r="J8" s="55"/>
      <c r="K8" s="14"/>
      <c r="L8" s="14"/>
      <c r="M8" s="13"/>
      <c r="N8" s="14"/>
      <c r="O8" s="13"/>
      <c r="P8" s="14"/>
    </row>
    <row r="9" spans="2:16" s="34" customFormat="1" ht="24" customHeight="1" x14ac:dyDescent="0.25">
      <c r="B9" s="88" t="s">
        <v>1</v>
      </c>
      <c r="C9" s="89"/>
      <c r="D9" s="25" t="s">
        <v>6</v>
      </c>
      <c r="E9" s="90"/>
      <c r="F9" s="90"/>
      <c r="G9" s="56"/>
      <c r="H9" s="29" t="s">
        <v>34</v>
      </c>
      <c r="I9" s="30" t="s">
        <v>6</v>
      </c>
      <c r="J9" s="31"/>
      <c r="K9" s="14"/>
      <c r="L9" s="14"/>
      <c r="M9" s="13"/>
      <c r="N9" s="14"/>
      <c r="O9" s="13"/>
      <c r="P9" s="14"/>
    </row>
    <row r="10" spans="2:16" s="34" customFormat="1" ht="33" x14ac:dyDescent="0.25">
      <c r="B10" s="32" t="s">
        <v>14</v>
      </c>
      <c r="C10" s="91" t="s">
        <v>15</v>
      </c>
      <c r="D10" s="92"/>
      <c r="E10" s="93"/>
      <c r="F10" s="33" t="s">
        <v>16</v>
      </c>
      <c r="G10" s="33" t="s">
        <v>17</v>
      </c>
      <c r="H10" s="94" t="s">
        <v>18</v>
      </c>
      <c r="I10" s="95"/>
      <c r="J10" s="33" t="s">
        <v>19</v>
      </c>
      <c r="K10" s="14"/>
      <c r="L10" s="14"/>
      <c r="M10" s="13"/>
      <c r="N10" s="14"/>
      <c r="O10" s="13"/>
      <c r="P10" s="14"/>
    </row>
    <row r="11" spans="2:16" s="34" customFormat="1" ht="24" customHeight="1" x14ac:dyDescent="0.25">
      <c r="B11" s="57">
        <v>1</v>
      </c>
      <c r="C11" s="85"/>
      <c r="D11" s="86"/>
      <c r="E11" s="87"/>
      <c r="F11" s="37"/>
      <c r="G11" s="37"/>
      <c r="H11" s="80"/>
      <c r="I11" s="81"/>
      <c r="J11" s="38">
        <f t="shared" ref="J11:J18" si="0">G11*H11</f>
        <v>0</v>
      </c>
      <c r="K11" s="14"/>
      <c r="L11" s="14"/>
      <c r="M11" s="13"/>
      <c r="N11" s="14"/>
      <c r="O11" s="13"/>
      <c r="P11" s="14"/>
    </row>
    <row r="12" spans="2:16" s="34" customFormat="1" ht="24" customHeight="1" x14ac:dyDescent="0.25">
      <c r="B12" s="57">
        <v>2</v>
      </c>
      <c r="C12" s="85"/>
      <c r="D12" s="86"/>
      <c r="E12" s="87"/>
      <c r="F12" s="37"/>
      <c r="G12" s="37"/>
      <c r="H12" s="80"/>
      <c r="I12" s="81"/>
      <c r="J12" s="38">
        <f t="shared" si="0"/>
        <v>0</v>
      </c>
      <c r="K12" s="14"/>
      <c r="L12" s="14"/>
      <c r="M12" s="13"/>
      <c r="N12" s="14"/>
      <c r="O12" s="13"/>
      <c r="P12" s="14"/>
    </row>
    <row r="13" spans="2:16" s="34" customFormat="1" ht="24" customHeight="1" x14ac:dyDescent="0.25">
      <c r="B13" s="57">
        <v>3</v>
      </c>
      <c r="C13" s="85"/>
      <c r="D13" s="86"/>
      <c r="E13" s="87"/>
      <c r="F13" s="37"/>
      <c r="G13" s="37"/>
      <c r="H13" s="80"/>
      <c r="I13" s="81"/>
      <c r="J13" s="38">
        <f t="shared" si="0"/>
        <v>0</v>
      </c>
      <c r="K13" s="14"/>
      <c r="L13" s="14"/>
      <c r="M13" s="13"/>
      <c r="N13" s="14"/>
      <c r="O13" s="13"/>
      <c r="P13" s="14"/>
    </row>
    <row r="14" spans="2:16" s="34" customFormat="1" ht="24" customHeight="1" x14ac:dyDescent="0.25">
      <c r="B14" s="57">
        <v>4</v>
      </c>
      <c r="C14" s="85"/>
      <c r="D14" s="86"/>
      <c r="E14" s="87"/>
      <c r="F14" s="37"/>
      <c r="G14" s="37"/>
      <c r="H14" s="80"/>
      <c r="I14" s="81"/>
      <c r="J14" s="38">
        <f t="shared" si="0"/>
        <v>0</v>
      </c>
      <c r="K14" s="14"/>
      <c r="L14" s="14"/>
      <c r="M14" s="13"/>
      <c r="N14" s="14"/>
      <c r="O14" s="13"/>
      <c r="P14" s="14"/>
    </row>
    <row r="15" spans="2:16" s="34" customFormat="1" ht="24" hidden="1" customHeight="1" x14ac:dyDescent="0.25">
      <c r="B15" s="57">
        <v>10</v>
      </c>
      <c r="C15" s="85"/>
      <c r="D15" s="86"/>
      <c r="E15" s="87"/>
      <c r="F15" s="37"/>
      <c r="G15" s="37"/>
      <c r="H15" s="80"/>
      <c r="I15" s="81"/>
      <c r="J15" s="38">
        <f t="shared" si="0"/>
        <v>0</v>
      </c>
      <c r="K15" s="14"/>
      <c r="L15" s="14"/>
      <c r="M15" s="13"/>
      <c r="N15" s="14"/>
      <c r="O15" s="13"/>
      <c r="P15" s="14"/>
    </row>
    <row r="16" spans="2:16" s="34" customFormat="1" ht="24" hidden="1" customHeight="1" x14ac:dyDescent="0.25">
      <c r="B16" s="57">
        <v>11</v>
      </c>
      <c r="C16" s="85"/>
      <c r="D16" s="86"/>
      <c r="E16" s="87"/>
      <c r="F16" s="37"/>
      <c r="G16" s="37"/>
      <c r="H16" s="80"/>
      <c r="I16" s="81"/>
      <c r="J16" s="38">
        <f t="shared" si="0"/>
        <v>0</v>
      </c>
      <c r="K16" s="14"/>
      <c r="L16" s="14"/>
      <c r="M16" s="13"/>
      <c r="N16" s="14"/>
      <c r="O16" s="13"/>
      <c r="P16" s="14"/>
    </row>
    <row r="17" spans="2:16" s="34" customFormat="1" ht="24" hidden="1" customHeight="1" x14ac:dyDescent="0.25">
      <c r="B17" s="57">
        <v>12</v>
      </c>
      <c r="C17" s="85"/>
      <c r="D17" s="86"/>
      <c r="E17" s="87"/>
      <c r="F17" s="37"/>
      <c r="G17" s="37"/>
      <c r="H17" s="80"/>
      <c r="I17" s="81"/>
      <c r="J17" s="38">
        <f t="shared" si="0"/>
        <v>0</v>
      </c>
      <c r="K17" s="14"/>
      <c r="L17" s="14"/>
      <c r="M17" s="13"/>
      <c r="N17" s="14"/>
      <c r="O17" s="13"/>
      <c r="P17" s="14"/>
    </row>
    <row r="18" spans="2:16" s="34" customFormat="1" ht="24" hidden="1" customHeight="1" x14ac:dyDescent="0.25">
      <c r="B18" s="57">
        <v>13</v>
      </c>
      <c r="C18" s="85"/>
      <c r="D18" s="86"/>
      <c r="E18" s="87"/>
      <c r="F18" s="37"/>
      <c r="G18" s="37"/>
      <c r="H18" s="80"/>
      <c r="I18" s="81"/>
      <c r="J18" s="38">
        <f t="shared" si="0"/>
        <v>0</v>
      </c>
      <c r="K18" s="14"/>
      <c r="L18" s="14"/>
      <c r="M18" s="13"/>
      <c r="N18" s="14"/>
      <c r="O18" s="13"/>
      <c r="P18" s="14"/>
    </row>
    <row r="19" spans="2:16" s="34" customFormat="1" ht="24" customHeight="1" x14ac:dyDescent="0.25">
      <c r="B19" s="67" t="s">
        <v>20</v>
      </c>
      <c r="C19" s="68"/>
      <c r="D19" s="68"/>
      <c r="E19" s="68"/>
      <c r="F19" s="68"/>
      <c r="G19" s="68"/>
      <c r="H19" s="68"/>
      <c r="I19" s="69"/>
      <c r="J19" s="43">
        <f>+_xlfn.AGGREGATE(9,7,J11:J18)</f>
        <v>0</v>
      </c>
      <c r="K19" s="14"/>
      <c r="L19" s="14"/>
      <c r="M19" s="13"/>
      <c r="N19" s="14"/>
      <c r="O19" s="13"/>
      <c r="P19" s="14"/>
    </row>
    <row r="20" spans="2:16" s="34" customFormat="1" ht="16.5" x14ac:dyDescent="0.25">
      <c r="B20" s="82" t="s">
        <v>21</v>
      </c>
      <c r="C20" s="83"/>
      <c r="D20" s="83"/>
      <c r="E20" s="83"/>
      <c r="F20" s="83"/>
      <c r="G20" s="83"/>
      <c r="H20" s="83"/>
      <c r="I20" s="83"/>
      <c r="J20" s="84"/>
      <c r="K20" s="14"/>
      <c r="L20" s="14"/>
      <c r="M20" s="13"/>
      <c r="N20" s="14"/>
      <c r="O20" s="13"/>
      <c r="P20" s="14"/>
    </row>
    <row r="21" spans="2:16" s="34" customFormat="1" ht="24" customHeight="1" x14ac:dyDescent="0.25">
      <c r="B21" s="57">
        <v>1</v>
      </c>
      <c r="C21" s="85"/>
      <c r="D21" s="86"/>
      <c r="E21" s="87"/>
      <c r="F21" s="37"/>
      <c r="G21" s="37"/>
      <c r="H21" s="80"/>
      <c r="I21" s="81"/>
      <c r="J21" s="38">
        <f t="shared" ref="J21:J23" si="1">G21*H21</f>
        <v>0</v>
      </c>
      <c r="K21" s="14"/>
      <c r="L21" s="14"/>
      <c r="M21" s="13"/>
      <c r="N21" s="14"/>
      <c r="O21" s="13"/>
      <c r="P21" s="14"/>
    </row>
    <row r="22" spans="2:16" s="34" customFormat="1" ht="24" customHeight="1" x14ac:dyDescent="0.25">
      <c r="B22" s="57">
        <v>2</v>
      </c>
      <c r="C22" s="85"/>
      <c r="D22" s="86"/>
      <c r="E22" s="87"/>
      <c r="F22" s="37"/>
      <c r="G22" s="37"/>
      <c r="H22" s="80"/>
      <c r="I22" s="81"/>
      <c r="J22" s="38">
        <f t="shared" si="1"/>
        <v>0</v>
      </c>
      <c r="K22" s="14"/>
      <c r="L22" s="14"/>
      <c r="M22" s="13"/>
      <c r="N22" s="14"/>
      <c r="O22" s="13"/>
      <c r="P22" s="14"/>
    </row>
    <row r="23" spans="2:16" s="34" customFormat="1" ht="24" customHeight="1" x14ac:dyDescent="0.25">
      <c r="B23" s="57">
        <v>3</v>
      </c>
      <c r="C23" s="77"/>
      <c r="D23" s="78"/>
      <c r="E23" s="79"/>
      <c r="F23" s="37"/>
      <c r="G23" s="37"/>
      <c r="H23" s="80"/>
      <c r="I23" s="81"/>
      <c r="J23" s="38">
        <f t="shared" si="1"/>
        <v>0</v>
      </c>
      <c r="K23" s="14"/>
      <c r="L23" s="14"/>
      <c r="M23" s="13"/>
      <c r="N23" s="14"/>
      <c r="O23" s="13"/>
      <c r="P23" s="14"/>
    </row>
    <row r="24" spans="2:16" s="34" customFormat="1" ht="24" customHeight="1" x14ac:dyDescent="0.25">
      <c r="B24" s="67" t="s">
        <v>22</v>
      </c>
      <c r="C24" s="68"/>
      <c r="D24" s="68"/>
      <c r="E24" s="68"/>
      <c r="F24" s="68"/>
      <c r="G24" s="68"/>
      <c r="H24" s="68"/>
      <c r="I24" s="69"/>
      <c r="J24" s="58">
        <f>SUM(J21:J23)</f>
        <v>0</v>
      </c>
      <c r="K24" s="14"/>
      <c r="L24" s="14"/>
      <c r="M24" s="13"/>
      <c r="N24" s="14"/>
      <c r="O24" s="13"/>
      <c r="P24" s="14"/>
    </row>
    <row r="25" spans="2:16" s="34" customFormat="1" ht="24" customHeight="1" x14ac:dyDescent="0.25">
      <c r="B25" s="70" t="s">
        <v>23</v>
      </c>
      <c r="C25" s="71"/>
      <c r="D25" s="71"/>
      <c r="E25" s="71"/>
      <c r="F25" s="71"/>
      <c r="G25" s="71"/>
      <c r="H25" s="71"/>
      <c r="I25" s="72"/>
      <c r="J25" s="59">
        <f>J19+J24</f>
        <v>0</v>
      </c>
      <c r="K25" s="14"/>
      <c r="L25" s="14"/>
      <c r="M25" s="13"/>
      <c r="N25" s="14"/>
      <c r="O25" s="13"/>
      <c r="P25" s="14"/>
    </row>
    <row r="26" spans="2:16" s="34" customFormat="1" ht="24" customHeight="1" x14ac:dyDescent="0.25">
      <c r="B26" s="70" t="s">
        <v>29</v>
      </c>
      <c r="C26" s="71"/>
      <c r="D26" s="71"/>
      <c r="E26" s="71"/>
      <c r="F26" s="71"/>
      <c r="G26" s="71"/>
      <c r="H26" s="71"/>
      <c r="I26" s="72"/>
      <c r="J26" s="60"/>
      <c r="K26" s="14"/>
      <c r="L26" s="14"/>
      <c r="M26" s="13"/>
      <c r="N26" s="14"/>
      <c r="O26" s="13"/>
      <c r="P26" s="14"/>
    </row>
    <row r="27" spans="2:16" s="64" customFormat="1" ht="24" customHeight="1" x14ac:dyDescent="0.25">
      <c r="B27" s="73" t="s">
        <v>30</v>
      </c>
      <c r="C27" s="74"/>
      <c r="D27" s="74"/>
      <c r="E27" s="74"/>
      <c r="F27" s="74"/>
      <c r="G27" s="74"/>
      <c r="H27" s="74"/>
      <c r="I27" s="75"/>
      <c r="J27" s="61">
        <f>J25-J26</f>
        <v>0</v>
      </c>
      <c r="K27" s="62"/>
      <c r="L27" s="39"/>
      <c r="M27" s="63"/>
      <c r="N27" s="62"/>
      <c r="O27" s="63"/>
      <c r="P27" s="62"/>
    </row>
    <row r="28" spans="2:16" s="14" customFormat="1" ht="16.5" x14ac:dyDescent="0.25">
      <c r="F28" s="76" t="str">
        <f>TEXT(E9,"[$-vi-VN] ""Queen Plaza Kỳ Hòa, Ngày"" dd ""tháng"" mm ""năm"" yyyy")</f>
        <v xml:space="preserve"> Queen Plaza Kỳ Hòa, Ngày 00 tháng 01 năm 1900</v>
      </c>
      <c r="G28" s="76"/>
      <c r="H28" s="76"/>
      <c r="I28" s="76"/>
      <c r="J28" s="76"/>
      <c r="M28" s="13"/>
      <c r="O28" s="13"/>
    </row>
    <row r="29" spans="2:16" s="14" customFormat="1" ht="16.5" x14ac:dyDescent="0.25">
      <c r="B29" s="21" t="s">
        <v>0</v>
      </c>
      <c r="C29" s="21"/>
      <c r="D29" s="21"/>
      <c r="E29" s="21"/>
      <c r="F29" s="1" t="s">
        <v>31</v>
      </c>
      <c r="G29" s="1"/>
      <c r="H29" s="66" t="s">
        <v>32</v>
      </c>
      <c r="I29" s="66"/>
      <c r="J29" s="66"/>
      <c r="M29" s="13"/>
      <c r="O29" s="13"/>
    </row>
    <row r="30" spans="2:16" s="14" customFormat="1" ht="16.5" x14ac:dyDescent="0.25">
      <c r="E30" s="1"/>
      <c r="F30" s="1"/>
      <c r="G30" s="1"/>
      <c r="H30" s="1"/>
      <c r="I30" s="1"/>
      <c r="J30" s="46"/>
      <c r="M30" s="13"/>
      <c r="O30" s="13"/>
    </row>
    <row r="31" spans="2:16" s="14" customFormat="1" ht="16.5" x14ac:dyDescent="0.25">
      <c r="E31" s="1"/>
      <c r="F31" s="1"/>
      <c r="G31" s="1"/>
      <c r="H31" s="1"/>
      <c r="I31" s="1"/>
      <c r="J31" s="46"/>
      <c r="M31" s="13"/>
      <c r="O31" s="13"/>
    </row>
    <row r="32" spans="2:16" s="14" customFormat="1" ht="16.5" x14ac:dyDescent="0.25">
      <c r="E32" s="1"/>
      <c r="F32" s="66"/>
      <c r="G32" s="66"/>
      <c r="H32" s="66"/>
      <c r="I32" s="66"/>
      <c r="J32" s="66"/>
      <c r="M32" s="13"/>
      <c r="O32" s="13"/>
    </row>
    <row r="33" spans="5:15" s="14" customFormat="1" ht="16.5" x14ac:dyDescent="0.25">
      <c r="E33" s="1"/>
      <c r="F33" s="66"/>
      <c r="G33" s="66"/>
      <c r="M33" s="13"/>
      <c r="O33" s="13"/>
    </row>
    <row r="34" spans="5:15" s="4" customFormat="1" ht="16.5" x14ac:dyDescent="0.25">
      <c r="H34" s="66"/>
      <c r="I34" s="66"/>
      <c r="J34" s="66"/>
      <c r="M34" s="3"/>
      <c r="O34" s="3"/>
    </row>
  </sheetData>
  <mergeCells count="44">
    <mergeCell ref="B4:J4"/>
    <mergeCell ref="B6:C6"/>
    <mergeCell ref="E6:G6"/>
    <mergeCell ref="B7:C7"/>
    <mergeCell ref="B8:C8"/>
    <mergeCell ref="E8:F8"/>
    <mergeCell ref="B9:C9"/>
    <mergeCell ref="E9:F9"/>
    <mergeCell ref="C10:E10"/>
    <mergeCell ref="H10:I10"/>
    <mergeCell ref="C11:E11"/>
    <mergeCell ref="H11:I11"/>
    <mergeCell ref="C15:E15"/>
    <mergeCell ref="H15:I15"/>
    <mergeCell ref="C12:E12"/>
    <mergeCell ref="H12:I12"/>
    <mergeCell ref="C13:E13"/>
    <mergeCell ref="H13:I13"/>
    <mergeCell ref="C14:E14"/>
    <mergeCell ref="H14:I14"/>
    <mergeCell ref="C16:E16"/>
    <mergeCell ref="H16:I16"/>
    <mergeCell ref="C17:E17"/>
    <mergeCell ref="H17:I17"/>
    <mergeCell ref="C18:E18"/>
    <mergeCell ref="H18:I18"/>
    <mergeCell ref="C23:E23"/>
    <mergeCell ref="H23:I23"/>
    <mergeCell ref="B19:I19"/>
    <mergeCell ref="B20:J20"/>
    <mergeCell ref="C21:E21"/>
    <mergeCell ref="H21:I21"/>
    <mergeCell ref="C22:E22"/>
    <mergeCell ref="H22:I22"/>
    <mergeCell ref="F32:G32"/>
    <mergeCell ref="H32:J32"/>
    <mergeCell ref="F33:G33"/>
    <mergeCell ref="H34:J34"/>
    <mergeCell ref="B24:I24"/>
    <mergeCell ref="B25:I25"/>
    <mergeCell ref="B26:I26"/>
    <mergeCell ref="B27:I27"/>
    <mergeCell ref="F28:J28"/>
    <mergeCell ref="H29:J29"/>
  </mergeCells>
  <pageMargins left="0.7" right="0.7" top="0.75" bottom="0.75" header="0.3" footer="0.3"/>
  <pageSetup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3570-DEE4-404B-B9BE-469260CA12C8}">
  <dimension ref="B1:L35"/>
  <sheetViews>
    <sheetView tabSelected="1" topLeftCell="A10" zoomScaleNormal="100" workbookViewId="0">
      <selection activeCell="E6" sqref="E6:G6"/>
    </sheetView>
  </sheetViews>
  <sheetFormatPr defaultColWidth="10.28515625" defaultRowHeight="15" x14ac:dyDescent="0.25"/>
  <cols>
    <col min="1" max="1" width="2.85546875" style="4" customWidth="1"/>
    <col min="2" max="2" width="6.140625" style="4" customWidth="1"/>
    <col min="3" max="3" width="4.85546875" style="4" customWidth="1"/>
    <col min="4" max="4" width="2" style="4" customWidth="1"/>
    <col min="5" max="5" width="26" style="4" customWidth="1"/>
    <col min="6" max="6" width="10.28515625" style="4"/>
    <col min="7" max="7" width="10.42578125" style="4" customWidth="1"/>
    <col min="8" max="8" width="13.42578125" style="4" customWidth="1"/>
    <col min="9" max="9" width="1.5703125" style="4" customWidth="1"/>
    <col min="10" max="10" width="21.85546875" style="4" customWidth="1"/>
    <col min="11" max="11" width="13.140625" style="4" bestFit="1" customWidth="1"/>
    <col min="12" max="16384" width="10.28515625" style="4"/>
  </cols>
  <sheetData>
    <row r="1" spans="2:12" ht="18.75" x14ac:dyDescent="0.25">
      <c r="B1" s="2" t="s">
        <v>2</v>
      </c>
      <c r="C1" s="2"/>
      <c r="D1" s="2"/>
      <c r="E1" s="2"/>
      <c r="F1" s="2"/>
      <c r="G1" s="2"/>
      <c r="H1" s="2"/>
      <c r="I1" s="2"/>
      <c r="J1" s="2"/>
    </row>
    <row r="2" spans="2:12" ht="18.75" x14ac:dyDescent="0.25">
      <c r="B2" s="5" t="s">
        <v>3</v>
      </c>
      <c r="C2" s="6"/>
      <c r="D2" s="6"/>
      <c r="E2" s="6"/>
      <c r="F2" s="6"/>
      <c r="G2" s="6"/>
      <c r="H2" s="6"/>
      <c r="I2" s="6"/>
      <c r="J2" s="6"/>
    </row>
    <row r="3" spans="2:12" ht="18.75" x14ac:dyDescent="0.25">
      <c r="B3" s="7"/>
      <c r="C3" s="7"/>
      <c r="D3" s="7"/>
      <c r="E3" s="7"/>
      <c r="F3" s="7"/>
      <c r="G3" s="7"/>
      <c r="H3" s="7"/>
      <c r="I3" s="7"/>
      <c r="J3" s="7"/>
    </row>
    <row r="4" spans="2:12" ht="24" customHeight="1" x14ac:dyDescent="0.25">
      <c r="B4" s="96" t="s">
        <v>4</v>
      </c>
      <c r="C4" s="96"/>
      <c r="D4" s="96"/>
      <c r="E4" s="96"/>
      <c r="F4" s="96"/>
      <c r="G4" s="96"/>
      <c r="H4" s="96"/>
      <c r="I4" s="96"/>
      <c r="J4" s="96"/>
    </row>
    <row r="5" spans="2:12" ht="22.5" customHeight="1" x14ac:dyDescent="0.25">
      <c r="B5" s="8"/>
      <c r="C5" s="8"/>
      <c r="D5" s="8"/>
      <c r="E5" s="8"/>
      <c r="F5" s="8"/>
      <c r="G5" s="8"/>
      <c r="H5" s="8"/>
      <c r="I5" s="8"/>
      <c r="J5" s="8"/>
    </row>
    <row r="6" spans="2:12" s="14" customFormat="1" ht="32.25" customHeight="1" x14ac:dyDescent="0.25">
      <c r="B6" s="97" t="s">
        <v>5</v>
      </c>
      <c r="C6" s="98"/>
      <c r="D6" s="9" t="s">
        <v>6</v>
      </c>
      <c r="E6" s="113"/>
      <c r="F6" s="113"/>
      <c r="G6" s="114"/>
      <c r="H6" s="10" t="s">
        <v>7</v>
      </c>
      <c r="I6" s="11" t="s">
        <v>6</v>
      </c>
      <c r="J6" s="12"/>
    </row>
    <row r="7" spans="2:12" s="14" customFormat="1" ht="22.5" customHeight="1" x14ac:dyDescent="0.25">
      <c r="B7" s="115" t="s">
        <v>8</v>
      </c>
      <c r="C7" s="116"/>
      <c r="D7" s="15" t="s">
        <v>6</v>
      </c>
      <c r="E7" s="16"/>
      <c r="F7" s="16"/>
      <c r="G7" s="17"/>
      <c r="H7" s="18" t="s">
        <v>9</v>
      </c>
      <c r="I7" s="19" t="s">
        <v>6</v>
      </c>
      <c r="J7" s="20"/>
    </row>
    <row r="8" spans="2:12" s="14" customFormat="1" ht="22.5" customHeight="1" x14ac:dyDescent="0.25">
      <c r="B8" s="102" t="s">
        <v>10</v>
      </c>
      <c r="C8" s="103"/>
      <c r="D8" s="22" t="s">
        <v>6</v>
      </c>
      <c r="E8" s="22"/>
      <c r="F8" s="22"/>
      <c r="G8" s="20"/>
      <c r="H8" s="18" t="s">
        <v>11</v>
      </c>
      <c r="I8" s="23" t="s">
        <v>6</v>
      </c>
      <c r="J8" s="24"/>
    </row>
    <row r="9" spans="2:12" s="14" customFormat="1" ht="22.5" customHeight="1" x14ac:dyDescent="0.25">
      <c r="B9" s="88" t="s">
        <v>12</v>
      </c>
      <c r="C9" s="89"/>
      <c r="D9" s="25" t="s">
        <v>6</v>
      </c>
      <c r="E9" s="26"/>
      <c r="F9" s="27"/>
      <c r="G9" s="28"/>
      <c r="H9" s="29" t="s">
        <v>13</v>
      </c>
      <c r="I9" s="30" t="s">
        <v>6</v>
      </c>
      <c r="J9" s="31"/>
    </row>
    <row r="10" spans="2:12" s="34" customFormat="1" ht="33" x14ac:dyDescent="0.25">
      <c r="B10" s="32" t="s">
        <v>14</v>
      </c>
      <c r="C10" s="91" t="s">
        <v>15</v>
      </c>
      <c r="D10" s="92"/>
      <c r="E10" s="93"/>
      <c r="F10" s="33" t="s">
        <v>16</v>
      </c>
      <c r="G10" s="33" t="s">
        <v>17</v>
      </c>
      <c r="H10" s="94" t="s">
        <v>18</v>
      </c>
      <c r="I10" s="95"/>
      <c r="J10" s="33" t="s">
        <v>19</v>
      </c>
      <c r="L10" s="35"/>
    </row>
    <row r="11" spans="2:12" s="40" customFormat="1" ht="24.75" customHeight="1" x14ac:dyDescent="0.25">
      <c r="B11" s="36">
        <v>1</v>
      </c>
      <c r="C11" s="111"/>
      <c r="D11" s="111"/>
      <c r="E11" s="111"/>
      <c r="F11" s="37"/>
      <c r="G11" s="37"/>
      <c r="H11" s="112"/>
      <c r="I11" s="112"/>
      <c r="J11" s="38">
        <f>G11*H11</f>
        <v>0</v>
      </c>
    </row>
    <row r="12" spans="2:12" s="40" customFormat="1" ht="24.75" customHeight="1" x14ac:dyDescent="0.25">
      <c r="B12" s="36">
        <v>2</v>
      </c>
      <c r="C12" s="111"/>
      <c r="D12" s="111"/>
      <c r="E12" s="111"/>
      <c r="F12" s="37"/>
      <c r="G12" s="37"/>
      <c r="H12" s="112"/>
      <c r="I12" s="112"/>
      <c r="J12" s="38">
        <f t="shared" ref="J12:J16" si="0">G12*H12</f>
        <v>0</v>
      </c>
    </row>
    <row r="13" spans="2:12" s="40" customFormat="1" ht="24.75" customHeight="1" x14ac:dyDescent="0.25">
      <c r="B13" s="36">
        <v>3</v>
      </c>
      <c r="C13" s="111"/>
      <c r="D13" s="111"/>
      <c r="E13" s="111"/>
      <c r="F13" s="37"/>
      <c r="G13" s="37"/>
      <c r="H13" s="112"/>
      <c r="I13" s="112"/>
      <c r="J13" s="38">
        <f t="shared" si="0"/>
        <v>0</v>
      </c>
    </row>
    <row r="14" spans="2:12" s="40" customFormat="1" ht="24.75" customHeight="1" x14ac:dyDescent="0.25">
      <c r="B14" s="36">
        <v>5</v>
      </c>
      <c r="C14" s="111"/>
      <c r="D14" s="111"/>
      <c r="E14" s="111"/>
      <c r="F14" s="37"/>
      <c r="G14" s="37"/>
      <c r="H14" s="112"/>
      <c r="I14" s="112"/>
      <c r="J14" s="38">
        <f t="shared" si="0"/>
        <v>0</v>
      </c>
    </row>
    <row r="15" spans="2:12" s="40" customFormat="1" ht="24.75" customHeight="1" x14ac:dyDescent="0.25">
      <c r="B15" s="36">
        <v>6</v>
      </c>
      <c r="C15" s="111"/>
      <c r="D15" s="111"/>
      <c r="E15" s="111"/>
      <c r="F15" s="37"/>
      <c r="G15" s="37"/>
      <c r="H15" s="112"/>
      <c r="I15" s="112"/>
      <c r="J15" s="38">
        <f t="shared" si="0"/>
        <v>0</v>
      </c>
    </row>
    <row r="16" spans="2:12" s="40" customFormat="1" ht="24.75" customHeight="1" x14ac:dyDescent="0.25">
      <c r="B16" s="36">
        <v>7</v>
      </c>
      <c r="C16" s="111"/>
      <c r="D16" s="111"/>
      <c r="E16" s="111"/>
      <c r="F16" s="37"/>
      <c r="G16" s="37"/>
      <c r="H16" s="112"/>
      <c r="I16" s="112"/>
      <c r="J16" s="38">
        <f t="shared" si="0"/>
        <v>0</v>
      </c>
    </row>
    <row r="17" spans="2:11" s="14" customFormat="1" ht="24.75" customHeight="1" x14ac:dyDescent="0.25">
      <c r="B17" s="67" t="s">
        <v>20</v>
      </c>
      <c r="C17" s="68"/>
      <c r="D17" s="68"/>
      <c r="E17" s="68"/>
      <c r="F17" s="68"/>
      <c r="G17" s="68"/>
      <c r="H17" s="68"/>
      <c r="I17" s="69"/>
      <c r="J17" s="41">
        <f>+_xlfn.AGGREGATE(9,7,J11:J16)</f>
        <v>0</v>
      </c>
      <c r="K17" s="42"/>
    </row>
    <row r="18" spans="2:11" s="14" customFormat="1" ht="18" customHeight="1" x14ac:dyDescent="0.25">
      <c r="B18" s="82" t="s">
        <v>21</v>
      </c>
      <c r="C18" s="83"/>
      <c r="D18" s="83"/>
      <c r="E18" s="83"/>
      <c r="F18" s="83"/>
      <c r="G18" s="83"/>
      <c r="H18" s="83"/>
      <c r="I18" s="83"/>
      <c r="J18" s="84"/>
      <c r="K18" s="13"/>
    </row>
    <row r="19" spans="2:11" s="40" customFormat="1" ht="24.75" customHeight="1" x14ac:dyDescent="0.25">
      <c r="B19" s="36">
        <v>1</v>
      </c>
      <c r="C19" s="111"/>
      <c r="D19" s="111"/>
      <c r="E19" s="111"/>
      <c r="F19" s="37"/>
      <c r="G19" s="37"/>
      <c r="H19" s="112"/>
      <c r="I19" s="112"/>
      <c r="J19" s="38">
        <f>G19*H19</f>
        <v>0</v>
      </c>
    </row>
    <row r="20" spans="2:11" s="40" customFormat="1" ht="24.75" customHeight="1" x14ac:dyDescent="0.25">
      <c r="B20" s="36">
        <v>2</v>
      </c>
      <c r="C20" s="111"/>
      <c r="D20" s="111"/>
      <c r="E20" s="111"/>
      <c r="F20" s="37"/>
      <c r="G20" s="37"/>
      <c r="H20" s="112"/>
      <c r="I20" s="112"/>
      <c r="J20" s="38">
        <f t="shared" ref="J20" si="1">G20*H20</f>
        <v>0</v>
      </c>
    </row>
    <row r="21" spans="2:11" s="40" customFormat="1" ht="23.25" customHeight="1" x14ac:dyDescent="0.25">
      <c r="B21" s="67" t="s">
        <v>22</v>
      </c>
      <c r="C21" s="68"/>
      <c r="D21" s="68"/>
      <c r="E21" s="68"/>
      <c r="F21" s="68"/>
      <c r="G21" s="68"/>
      <c r="H21" s="68"/>
      <c r="I21" s="69"/>
      <c r="J21" s="41">
        <f>SUM(J19:J20)</f>
        <v>0</v>
      </c>
    </row>
    <row r="22" spans="2:11" s="40" customFormat="1" ht="23.25" customHeight="1" x14ac:dyDescent="0.25">
      <c r="B22" s="67" t="s">
        <v>23</v>
      </c>
      <c r="C22" s="68"/>
      <c r="D22" s="68"/>
      <c r="E22" s="68"/>
      <c r="F22" s="68"/>
      <c r="G22" s="68"/>
      <c r="H22" s="68"/>
      <c r="I22" s="69"/>
      <c r="J22" s="41"/>
    </row>
    <row r="23" spans="2:11" s="40" customFormat="1" ht="23.25" customHeight="1" x14ac:dyDescent="0.25">
      <c r="B23" s="67" t="s">
        <v>24</v>
      </c>
      <c r="C23" s="68"/>
      <c r="D23" s="68"/>
      <c r="E23" s="68"/>
      <c r="F23" s="68"/>
      <c r="G23" s="68"/>
      <c r="H23" s="68"/>
      <c r="I23" s="69"/>
      <c r="J23" s="41"/>
    </row>
    <row r="24" spans="2:11" s="40" customFormat="1" ht="23.25" customHeight="1" x14ac:dyDescent="0.25">
      <c r="B24" s="70" t="s">
        <v>25</v>
      </c>
      <c r="C24" s="71"/>
      <c r="D24" s="71"/>
      <c r="E24" s="71"/>
      <c r="F24" s="71"/>
      <c r="G24" s="71"/>
      <c r="H24" s="71"/>
      <c r="I24" s="72"/>
      <c r="J24" s="41"/>
    </row>
    <row r="25" spans="2:11" s="40" customFormat="1" ht="23.25" customHeight="1" x14ac:dyDescent="0.25">
      <c r="B25" s="67" t="s">
        <v>26</v>
      </c>
      <c r="C25" s="68"/>
      <c r="D25" s="68"/>
      <c r="E25" s="68"/>
      <c r="F25" s="68"/>
      <c r="G25" s="68"/>
      <c r="H25" s="68"/>
      <c r="I25" s="69"/>
      <c r="J25" s="41"/>
    </row>
    <row r="26" spans="2:11" s="40" customFormat="1" ht="23.25" customHeight="1" x14ac:dyDescent="0.25">
      <c r="B26" s="107" t="s">
        <v>27</v>
      </c>
      <c r="C26" s="107"/>
      <c r="D26" s="107"/>
      <c r="E26" s="107"/>
      <c r="F26" s="107"/>
      <c r="G26" s="107"/>
      <c r="H26" s="107"/>
      <c r="I26" s="107"/>
      <c r="J26" s="41"/>
    </row>
    <row r="27" spans="2:11" s="40" customFormat="1" ht="23.25" customHeight="1" x14ac:dyDescent="0.25">
      <c r="B27" s="70" t="s">
        <v>28</v>
      </c>
      <c r="C27" s="71"/>
      <c r="D27" s="71"/>
      <c r="E27" s="71"/>
      <c r="F27" s="71"/>
      <c r="G27" s="71"/>
      <c r="H27" s="71"/>
      <c r="I27" s="72"/>
      <c r="J27" s="43"/>
    </row>
    <row r="28" spans="2:11" s="40" customFormat="1" ht="23.25" customHeight="1" x14ac:dyDescent="0.25">
      <c r="B28" s="70" t="s">
        <v>29</v>
      </c>
      <c r="C28" s="71"/>
      <c r="D28" s="71"/>
      <c r="E28" s="71"/>
      <c r="F28" s="71"/>
      <c r="G28" s="71"/>
      <c r="H28" s="71"/>
      <c r="I28" s="72"/>
      <c r="J28" s="44"/>
    </row>
    <row r="29" spans="2:11" s="40" customFormat="1" ht="23.25" customHeight="1" x14ac:dyDescent="0.25">
      <c r="B29" s="108" t="s">
        <v>30</v>
      </c>
      <c r="C29" s="109"/>
      <c r="D29" s="109"/>
      <c r="E29" s="109"/>
      <c r="F29" s="109"/>
      <c r="G29" s="109"/>
      <c r="H29" s="109"/>
      <c r="I29" s="110"/>
      <c r="J29" s="45"/>
    </row>
    <row r="30" spans="2:11" s="14" customFormat="1" ht="16.5" x14ac:dyDescent="0.25">
      <c r="F30" s="105" t="str">
        <f>TEXT(E9,"[$-vi-VN] ""Queen Plaza Kỳ Hòa, Ngày"" dd ""tháng"" mm ""năm"" yyyy")</f>
        <v xml:space="preserve"> Queen Plaza Kỳ Hòa, Ngày 00 tháng 01 năm 1900</v>
      </c>
      <c r="G30" s="105"/>
      <c r="H30" s="105"/>
      <c r="I30" s="105"/>
      <c r="J30" s="105"/>
    </row>
    <row r="31" spans="2:11" s="14" customFormat="1" ht="16.5" x14ac:dyDescent="0.25">
      <c r="B31" s="21" t="s">
        <v>0</v>
      </c>
      <c r="C31" s="21"/>
      <c r="D31" s="21"/>
      <c r="E31" s="21"/>
      <c r="F31" s="1" t="s">
        <v>31</v>
      </c>
      <c r="G31" s="1"/>
      <c r="H31" s="66" t="s">
        <v>32</v>
      </c>
      <c r="I31" s="66"/>
      <c r="J31" s="66"/>
    </row>
    <row r="32" spans="2:11" s="14" customFormat="1" ht="16.5" x14ac:dyDescent="0.25">
      <c r="E32" s="1"/>
      <c r="F32" s="1"/>
      <c r="G32" s="1"/>
      <c r="H32" s="1"/>
      <c r="I32" s="1"/>
      <c r="J32" s="1"/>
    </row>
    <row r="33" spans="5:10" s="14" customFormat="1" ht="16.5" x14ac:dyDescent="0.25">
      <c r="E33" s="1"/>
      <c r="F33" s="1"/>
      <c r="G33" s="1"/>
      <c r="H33" s="1"/>
      <c r="I33" s="1"/>
      <c r="J33" s="1"/>
    </row>
    <row r="34" spans="5:10" s="14" customFormat="1" ht="16.5" x14ac:dyDescent="0.25">
      <c r="E34" s="106"/>
      <c r="F34" s="106"/>
      <c r="G34" s="106"/>
    </row>
    <row r="35" spans="5:10" ht="16.5" x14ac:dyDescent="0.25">
      <c r="H35" s="66"/>
      <c r="I35" s="66"/>
      <c r="J35" s="66"/>
    </row>
  </sheetData>
  <mergeCells count="39">
    <mergeCell ref="B9:C9"/>
    <mergeCell ref="B4:J4"/>
    <mergeCell ref="B6:C6"/>
    <mergeCell ref="E6:G6"/>
    <mergeCell ref="B7:C7"/>
    <mergeCell ref="B8:C8"/>
    <mergeCell ref="C10:E10"/>
    <mergeCell ref="H10:I10"/>
    <mergeCell ref="C11:E11"/>
    <mergeCell ref="H11:I11"/>
    <mergeCell ref="C12:E12"/>
    <mergeCell ref="H12:I12"/>
    <mergeCell ref="C13:E13"/>
    <mergeCell ref="H13:I13"/>
    <mergeCell ref="C14:E14"/>
    <mergeCell ref="H14:I14"/>
    <mergeCell ref="C15:E15"/>
    <mergeCell ref="H15:I15"/>
    <mergeCell ref="B17:I17"/>
    <mergeCell ref="B18:J18"/>
    <mergeCell ref="C19:E19"/>
    <mergeCell ref="H19:I19"/>
    <mergeCell ref="C16:E16"/>
    <mergeCell ref="H16:I16"/>
    <mergeCell ref="B21:I21"/>
    <mergeCell ref="B22:I22"/>
    <mergeCell ref="B23:I23"/>
    <mergeCell ref="B24:I24"/>
    <mergeCell ref="C20:E20"/>
    <mergeCell ref="H20:I20"/>
    <mergeCell ref="F30:J30"/>
    <mergeCell ref="H31:J31"/>
    <mergeCell ref="E34:G34"/>
    <mergeCell ref="H35:J35"/>
    <mergeCell ref="B25:I25"/>
    <mergeCell ref="B26:I26"/>
    <mergeCell ref="B27:I27"/>
    <mergeCell ref="B28:I28"/>
    <mergeCell ref="B29:I29"/>
  </mergeCells>
  <pageMargins left="0.7" right="0.7" top="0.75" bottom="0.75" header="0.3" footer="0.3"/>
  <pageSetup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QUYET TOAN 01</vt:lpstr>
      <vt:lpstr>QUYET TOAN 02</vt:lpstr>
      <vt:lpstr>'QUYET TOAN 01'!Print_Area</vt:lpstr>
      <vt:lpstr>'QUYET TOAN 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TINH DINH</dc:creator>
  <cp:lastModifiedBy>TINH DINH</cp:lastModifiedBy>
  <dcterms:created xsi:type="dcterms:W3CDTF">2026-05-30T08:37:03Z</dcterms:created>
  <dcterms:modified xsi:type="dcterms:W3CDTF">2026-08-19T09:23:15Z</dcterms:modified>
</cp:coreProperties>
</file>