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HAN MEM QL TIEC\GUI\"/>
    </mc:Choice>
  </mc:AlternateContent>
  <xr:revisionPtr revIDLastSave="0" documentId="13_ncr:1_{0E981D9B-BEB3-4281-A5BD-81142E45E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122025" sheetId="3" r:id="rId1"/>
  </sheets>
  <calcPr calcId="191029"/>
</workbook>
</file>

<file path=xl/calcChain.xml><?xml version="1.0" encoding="utf-8"?>
<calcChain xmlns="http://schemas.openxmlformats.org/spreadsheetml/2006/main">
  <c r="F26" i="3" l="1"/>
  <c r="F25" i="3"/>
  <c r="F24" i="3"/>
  <c r="F23" i="3"/>
  <c r="F22" i="3"/>
  <c r="F21" i="3"/>
  <c r="F20" i="3"/>
  <c r="F19" i="3"/>
  <c r="F18" i="3"/>
  <c r="F17" i="3"/>
  <c r="F15" i="3"/>
  <c r="F14" i="3"/>
  <c r="F13" i="3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<sst xmlns="http://schemas.openxmlformats.org/spreadsheetml/2006/main" count="104" uniqueCount="61">
  <si>
    <t>QUEEN PLAZA - FUNCTION ROOMS</t>
  </si>
  <si>
    <t>FUNCTION ROOM</t>
  </si>
  <si>
    <t>KT SÂN KHẤU</t>
  </si>
  <si>
    <t>Phông Màn</t>
  </si>
  <si>
    <t>KHU QUEEN</t>
  </si>
  <si>
    <t>Queen 1 (3 line)</t>
  </si>
  <si>
    <t>7.2m x 3.6m x 0.8m</t>
  </si>
  <si>
    <t>28 - 36</t>
  </si>
  <si>
    <t>Queen 2 (2 line)</t>
  </si>
  <si>
    <t>16 - 22</t>
  </si>
  <si>
    <t>Queen 3 (2 line)</t>
  </si>
  <si>
    <t>Queen 1+2 (5 line)</t>
  </si>
  <si>
    <t>9.6m x 3.6m x 0.8m</t>
  </si>
  <si>
    <t>50 - 60</t>
  </si>
  <si>
    <t>Queen 2+3 (4 line)</t>
  </si>
  <si>
    <t>40 - 50</t>
  </si>
  <si>
    <t>Queen 1+2+3 (7 line)</t>
  </si>
  <si>
    <t>12.0m x 3.6m x 0.8m</t>
  </si>
  <si>
    <t>70 - 90</t>
  </si>
  <si>
    <t>Queen 5</t>
  </si>
  <si>
    <t xml:space="preserve">4.0m x 3.0m x 0.5m </t>
  </si>
  <si>
    <t>06 - 12</t>
  </si>
  <si>
    <t>Đen</t>
  </si>
  <si>
    <t>Queen 6</t>
  </si>
  <si>
    <t>6.0m x 4.0m x 0.8m</t>
  </si>
  <si>
    <t>26 - 34</t>
  </si>
  <si>
    <t>x</t>
  </si>
  <si>
    <t>Queen 11</t>
  </si>
  <si>
    <t xml:space="preserve"> 6.0m x 4.0m x 0.6m</t>
  </si>
  <si>
    <t>20 - 30</t>
  </si>
  <si>
    <t>Queen 12</t>
  </si>
  <si>
    <t>20 - 29</t>
  </si>
  <si>
    <t>Queen 11+12</t>
  </si>
  <si>
    <t>42 - 50</t>
  </si>
  <si>
    <t>KHU LUXURY</t>
  </si>
  <si>
    <t>LUX AB (3 line)</t>
  </si>
  <si>
    <t>28 - 34</t>
  </si>
  <si>
    <t>LUX C (2 line)</t>
  </si>
  <si>
    <t>LUX D (2 line)</t>
  </si>
  <si>
    <t>LUX E (3 line)</t>
  </si>
  <si>
    <t>28 - 35</t>
  </si>
  <si>
    <t>LUX CD (4 line)</t>
  </si>
  <si>
    <t>LUX DE (5 line)</t>
  </si>
  <si>
    <t>50 - 62</t>
  </si>
  <si>
    <t>LUX ABC (5 line)</t>
  </si>
  <si>
    <t>LUX CDE (7 line)</t>
  </si>
  <si>
    <t>LUX ABCD (7 line)</t>
  </si>
  <si>
    <t>LUX ABCDE (10 line)</t>
  </si>
  <si>
    <t>100 - 130</t>
  </si>
  <si>
    <r>
      <t xml:space="preserve">CEILING 
HEIGHT
</t>
    </r>
    <r>
      <rPr>
        <b/>
        <i/>
        <sz val="10"/>
        <color indexed="8"/>
        <rFont val="Times New Roman"/>
        <family val="1"/>
      </rPr>
      <t>Chiều cao
trần (m)</t>
    </r>
  </si>
  <si>
    <r>
      <t xml:space="preserve">WIDTH
</t>
    </r>
    <r>
      <rPr>
        <b/>
        <i/>
        <sz val="10"/>
        <color indexed="8"/>
        <rFont val="Times New Roman"/>
        <family val="1"/>
      </rPr>
      <t>Chiều rộng
m</t>
    </r>
  </si>
  <si>
    <r>
      <t xml:space="preserve">LENGTH
</t>
    </r>
    <r>
      <rPr>
        <b/>
        <i/>
        <sz val="10"/>
        <color indexed="8"/>
        <rFont val="Times New Roman"/>
        <family val="1"/>
      </rPr>
      <t>Chiều dài
m</t>
    </r>
  </si>
  <si>
    <r>
      <t>M</t>
    </r>
    <r>
      <rPr>
        <b/>
        <vertAlign val="superscript"/>
        <sz val="10"/>
        <color indexed="8"/>
        <rFont val="Times New Roman"/>
        <family val="1"/>
      </rPr>
      <t>2</t>
    </r>
  </si>
  <si>
    <r>
      <t xml:space="preserve">BANQUET
</t>
    </r>
    <r>
      <rPr>
        <b/>
        <i/>
        <sz val="10"/>
        <color indexed="8"/>
        <rFont val="Times New Roman"/>
        <family val="1"/>
      </rPr>
      <t>Bàn tiệc</t>
    </r>
  </si>
  <si>
    <r>
      <t xml:space="preserve">CLASS ROOM
</t>
    </r>
    <r>
      <rPr>
        <b/>
        <i/>
        <sz val="10"/>
        <color indexed="8"/>
        <rFont val="Times New Roman"/>
        <family val="1"/>
      </rPr>
      <t>Kiểu lớp học</t>
    </r>
  </si>
  <si>
    <r>
      <t xml:space="preserve">THEATER
</t>
    </r>
    <r>
      <rPr>
        <b/>
        <i/>
        <sz val="10"/>
        <color indexed="8"/>
        <rFont val="Times New Roman"/>
        <family val="1"/>
      </rPr>
      <t>Kiểu nhà hát</t>
    </r>
  </si>
  <si>
    <r>
      <t xml:space="preserve">CLUSTER/ HALF ROUND
</t>
    </r>
    <r>
      <rPr>
        <b/>
        <i/>
        <sz val="10"/>
        <rFont val="Times New Roman"/>
        <family val="1"/>
      </rPr>
      <t>Kiểu bàn tròn xoay ghế hướng về 1 phía</t>
    </r>
  </si>
  <si>
    <t>Trắng</t>
  </si>
  <si>
    <t xml:space="preserve"> 12.0m x 4.0m x 0.6m</t>
  </si>
  <si>
    <t>- Đen
- Trắng</t>
  </si>
  <si>
    <t>- SK E: 9.6m x 3.6m x 0.8m
- SK CD: 14.4m x 3.6m x 0.8m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</si>
</sst>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45">
    <xf numFmtId="0" fontId="0" fillId="0" borderId="0" xfId="0"/>
    <xf numFmtId="0" fontId="3" fillId="0" borderId="1" xfId="0" applyFont="1" applyBorder="1"/>
    <xf numFmtId="0" fontId="5" fillId="0" borderId="0" xfId="0" applyFont="1" applyAlignment="1">
      <alignment horizontal="center"/>
    </xf>
    <xf numFmtId="0" fontId="3" fillId="0" borderId="0" xfId="0" applyFont="1"/>
    <xf numFmtId="166" fontId="6" fillId="2" borderId="4" xfId="0" applyNumberFormat="1" applyFont="1" applyFill="1" applyBorder="1" applyAlignment="1">
      <alignment horizontal="center" vertical="center"/>
    </xf>
    <xf numFmtId="166" fontId="6" fillId="2" borderId="4" xfId="1" applyNumberFormat="1" applyFont="1" applyFill="1" applyBorder="1" applyAlignment="1">
      <alignment horizontal="center" vertical="center" wrapText="1"/>
    </xf>
    <xf numFmtId="164" fontId="8" fillId="2" borderId="4" xfId="1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5" fontId="6" fillId="2" borderId="4" xfId="1" applyNumberFormat="1" applyFont="1" applyFill="1" applyBorder="1" applyAlignment="1">
      <alignment horizontal="center" vertical="center" wrapText="1"/>
    </xf>
    <xf numFmtId="165" fontId="11" fillId="2" borderId="4" xfId="1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10" fillId="3" borderId="4" xfId="1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164" fontId="14" fillId="0" borderId="4" xfId="1" applyNumberFormat="1" applyFont="1" applyBorder="1" applyAlignment="1">
      <alignment horizontal="right"/>
    </xf>
    <xf numFmtId="0" fontId="3" fillId="0" borderId="4" xfId="0" applyFont="1" applyBorder="1" applyAlignment="1">
      <alignment horizontal="right" wrapText="1"/>
    </xf>
    <xf numFmtId="165" fontId="15" fillId="0" borderId="4" xfId="1" applyNumberFormat="1" applyFont="1" applyBorder="1" applyAlignment="1">
      <alignment horizontal="center"/>
    </xf>
    <xf numFmtId="165" fontId="15" fillId="0" borderId="4" xfId="1" applyNumberFormat="1" applyFont="1" applyBorder="1" applyAlignment="1">
      <alignment horizontal="right"/>
    </xf>
    <xf numFmtId="165" fontId="14" fillId="0" borderId="4" xfId="1" applyNumberFormat="1" applyFont="1" applyBorder="1" applyAlignment="1">
      <alignment horizontal="right"/>
    </xf>
    <xf numFmtId="16" fontId="15" fillId="0" borderId="4" xfId="1" quotePrefix="1" applyNumberFormat="1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165" fontId="13" fillId="3" borderId="4" xfId="1" applyNumberFormat="1" applyFont="1" applyFill="1" applyBorder="1" applyAlignment="1">
      <alignment horizontal="center"/>
    </xf>
    <xf numFmtId="165" fontId="14" fillId="0" borderId="4" xfId="1" applyNumberFormat="1" applyFont="1" applyBorder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right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right"/>
    </xf>
    <xf numFmtId="0" fontId="5" fillId="4" borderId="4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165" fontId="14" fillId="0" borderId="4" xfId="1" applyNumberFormat="1" applyFont="1" applyBorder="1" applyAlignment="1">
      <alignment horizontal="center" vertical="center"/>
    </xf>
    <xf numFmtId="165" fontId="15" fillId="0" borderId="4" xfId="1" applyNumberFormat="1" applyFont="1" applyBorder="1" applyAlignment="1">
      <alignment horizontal="center" vertical="center"/>
    </xf>
    <xf numFmtId="165" fontId="15" fillId="0" borderId="4" xfId="1" applyNumberFormat="1" applyFont="1" applyBorder="1" applyAlignment="1">
      <alignment horizontal="right" vertical="center"/>
    </xf>
    <xf numFmtId="0" fontId="5" fillId="4" borderId="4" xfId="0" quotePrefix="1" applyFont="1" applyFill="1" applyBorder="1" applyAlignment="1">
      <alignment horizontal="left" vertical="center" wrapText="1"/>
    </xf>
    <xf numFmtId="0" fontId="3" fillId="0" borderId="4" xfId="0" quotePrefix="1" applyFont="1" applyBorder="1" applyAlignment="1">
      <alignment horizontal="right" vertical="center" wrapText="1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</cellXfs>
  <cellStyles count="5">
    <cellStyle name="Comma" xfId="1" builtinId="3"/>
    <cellStyle name="Comma 2" xfId="2" xr:uid="{00000000-0005-0000-0000-000031000000}"/>
    <cellStyle name="Normal" xfId="0" builtinId="0"/>
    <cellStyle name="Normal 2" xfId="3" xr:uid="{00000000-0005-0000-0000-000032000000}"/>
    <cellStyle name="Normal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60961</xdr:colOff>
      <xdr:row>1</xdr:row>
      <xdr:rowOff>68580</xdr:rowOff>
    </xdr:from>
    <xdr:to>
      <xdr:col>1</xdr:col>
      <xdr:colOff>1447800</xdr:colOff>
      <xdr:row>1</xdr:row>
      <xdr:rowOff>786589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461" y="243840"/>
          <a:ext cx="1386839" cy="718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tabSelected="1" zoomScale="130" zoomScaleNormal="130" workbookViewId="0">
      <pane ySplit="3" topLeftCell="A4" activePane="bottomLeft" state="frozen"/>
      <selection pane="bottomLeft" activeCell="L1" sqref="L1:L1048576"/>
    </sheetView>
  </sheetViews>
  <sheetFormatPr defaultColWidth="9" defaultRowHeight="15"/>
  <cols>
    <col min="1" max="1" width="2.7109375" style="3" customWidth="1"/>
    <col min="2" max="2" width="22.85546875" style="3" bestFit="1" customWidth="1"/>
    <col min="3" max="3" width="9.28515625" style="3" bestFit="1" customWidth="1"/>
    <col min="4" max="4" width="10.140625" style="3" bestFit="1" customWidth="1"/>
    <col min="5" max="5" width="9" style="3" bestFit="1" customWidth="1"/>
    <col min="6" max="6" width="12.7109375" style="25" customWidth="1"/>
    <col min="7" max="7" width="26.7109375" style="26" customWidth="1"/>
    <col min="8" max="8" width="11.140625" style="27" bestFit="1" customWidth="1"/>
    <col min="9" max="10" width="11.28515625" style="28" customWidth="1"/>
    <col min="11" max="11" width="17.28515625" style="28" customWidth="1"/>
    <col min="12" max="12" width="11" style="2" bestFit="1" customWidth="1"/>
    <col min="13" max="16384" width="9" style="3"/>
  </cols>
  <sheetData>
    <row r="2" spans="2:12" ht="67.900000000000006" customHeight="1">
      <c r="B2" s="1"/>
      <c r="C2" s="44" t="s">
        <v>0</v>
      </c>
      <c r="D2" s="44"/>
      <c r="E2" s="44"/>
      <c r="F2" s="44"/>
      <c r="G2" s="44"/>
      <c r="H2" s="44"/>
      <c r="I2" s="44"/>
      <c r="J2" s="44"/>
      <c r="K2" s="44"/>
      <c r="L2" s="44"/>
    </row>
    <row r="3" spans="2:12" s="11" customFormat="1" ht="52.5">
      <c r="B3" s="4" t="s">
        <v>1</v>
      </c>
      <c r="C3" s="5" t="s">
        <v>49</v>
      </c>
      <c r="D3" s="5" t="s">
        <v>50</v>
      </c>
      <c r="E3" s="5" t="s">
        <v>51</v>
      </c>
      <c r="F3" s="6" t="s">
        <v>52</v>
      </c>
      <c r="G3" s="7" t="s">
        <v>2</v>
      </c>
      <c r="H3" s="8" t="s">
        <v>53</v>
      </c>
      <c r="I3" s="8" t="s">
        <v>54</v>
      </c>
      <c r="J3" s="8" t="s">
        <v>55</v>
      </c>
      <c r="K3" s="9" t="s">
        <v>56</v>
      </c>
      <c r="L3" s="10" t="s">
        <v>3</v>
      </c>
    </row>
    <row r="4" spans="2:12" ht="18.75">
      <c r="B4" s="38" t="s">
        <v>4</v>
      </c>
      <c r="C4" s="39"/>
      <c r="D4" s="39"/>
      <c r="E4" s="39"/>
      <c r="F4" s="39"/>
      <c r="G4" s="39"/>
      <c r="H4" s="39"/>
      <c r="I4" s="39"/>
      <c r="J4" s="40"/>
      <c r="K4" s="12"/>
      <c r="L4" s="13"/>
    </row>
    <row r="5" spans="2:12" ht="16.899999999999999" customHeight="1">
      <c r="B5" s="14" t="s">
        <v>5</v>
      </c>
      <c r="C5" s="15">
        <v>5</v>
      </c>
      <c r="D5" s="15">
        <v>21</v>
      </c>
      <c r="E5" s="15">
        <v>24.6</v>
      </c>
      <c r="F5" s="16">
        <f>D5*E5</f>
        <v>516.6</v>
      </c>
      <c r="G5" s="17" t="s">
        <v>6</v>
      </c>
      <c r="H5" s="18" t="s">
        <v>7</v>
      </c>
      <c r="I5" s="19">
        <v>240</v>
      </c>
      <c r="J5" s="19">
        <v>410</v>
      </c>
      <c r="K5" s="19">
        <v>240</v>
      </c>
      <c r="L5" s="13" t="s">
        <v>57</v>
      </c>
    </row>
    <row r="6" spans="2:12" ht="16.899999999999999" customHeight="1">
      <c r="B6" s="14" t="s">
        <v>8</v>
      </c>
      <c r="C6" s="15">
        <v>5</v>
      </c>
      <c r="D6" s="15">
        <v>14</v>
      </c>
      <c r="E6" s="15">
        <v>24.6</v>
      </c>
      <c r="F6" s="16">
        <f>D6*E6</f>
        <v>344.40000000000003</v>
      </c>
      <c r="G6" s="17" t="s">
        <v>6</v>
      </c>
      <c r="H6" s="18" t="s">
        <v>9</v>
      </c>
      <c r="I6" s="19">
        <v>180</v>
      </c>
      <c r="J6" s="19">
        <v>284</v>
      </c>
      <c r="K6" s="19">
        <v>160</v>
      </c>
      <c r="L6" s="13" t="s">
        <v>57</v>
      </c>
    </row>
    <row r="7" spans="2:12" ht="16.899999999999999" customHeight="1">
      <c r="B7" s="14" t="s">
        <v>10</v>
      </c>
      <c r="C7" s="15">
        <v>5</v>
      </c>
      <c r="D7" s="15">
        <v>14</v>
      </c>
      <c r="E7" s="15">
        <v>24.6</v>
      </c>
      <c r="F7" s="16">
        <f t="shared" ref="F7:F15" si="0">D7*E7</f>
        <v>344.40000000000003</v>
      </c>
      <c r="G7" s="17" t="s">
        <v>6</v>
      </c>
      <c r="H7" s="18" t="s">
        <v>9</v>
      </c>
      <c r="I7" s="19">
        <v>180</v>
      </c>
      <c r="J7" s="19">
        <v>284</v>
      </c>
      <c r="K7" s="19">
        <v>160</v>
      </c>
      <c r="L7" s="13" t="s">
        <v>57</v>
      </c>
    </row>
    <row r="8" spans="2:12" ht="16.899999999999999" customHeight="1">
      <c r="B8" s="14" t="s">
        <v>11</v>
      </c>
      <c r="C8" s="15">
        <v>5</v>
      </c>
      <c r="D8" s="15">
        <v>35</v>
      </c>
      <c r="E8" s="15">
        <v>24.6</v>
      </c>
      <c r="F8" s="20">
        <f t="shared" si="0"/>
        <v>861</v>
      </c>
      <c r="G8" s="17" t="s">
        <v>12</v>
      </c>
      <c r="H8" s="18" t="s">
        <v>13</v>
      </c>
      <c r="I8" s="19">
        <v>450</v>
      </c>
      <c r="J8" s="19">
        <v>716</v>
      </c>
      <c r="K8" s="19">
        <v>360</v>
      </c>
      <c r="L8" s="13" t="s">
        <v>57</v>
      </c>
    </row>
    <row r="9" spans="2:12" ht="16.899999999999999" customHeight="1">
      <c r="B9" s="14" t="s">
        <v>14</v>
      </c>
      <c r="C9" s="15">
        <v>5</v>
      </c>
      <c r="D9" s="15">
        <v>28</v>
      </c>
      <c r="E9" s="15">
        <v>24.6</v>
      </c>
      <c r="F9" s="16">
        <f t="shared" si="0"/>
        <v>688.80000000000007</v>
      </c>
      <c r="G9" s="17" t="s">
        <v>12</v>
      </c>
      <c r="H9" s="18" t="s">
        <v>15</v>
      </c>
      <c r="I9" s="19">
        <v>360</v>
      </c>
      <c r="J9" s="19">
        <v>570</v>
      </c>
      <c r="K9" s="19">
        <v>280</v>
      </c>
      <c r="L9" s="13" t="s">
        <v>57</v>
      </c>
    </row>
    <row r="10" spans="2:12" ht="16.899999999999999" customHeight="1">
      <c r="B10" s="14" t="s">
        <v>16</v>
      </c>
      <c r="C10" s="15">
        <v>5</v>
      </c>
      <c r="D10" s="15">
        <v>49</v>
      </c>
      <c r="E10" s="15">
        <v>24.6</v>
      </c>
      <c r="F10" s="16">
        <f t="shared" si="0"/>
        <v>1205.4000000000001</v>
      </c>
      <c r="G10" s="17" t="s">
        <v>17</v>
      </c>
      <c r="H10" s="18" t="s">
        <v>18</v>
      </c>
      <c r="I10" s="19">
        <v>660</v>
      </c>
      <c r="J10" s="19">
        <v>1042</v>
      </c>
      <c r="K10" s="19">
        <v>520</v>
      </c>
      <c r="L10" s="13" t="s">
        <v>57</v>
      </c>
    </row>
    <row r="11" spans="2:12" ht="16.899999999999999" customHeight="1">
      <c r="B11" s="14" t="s">
        <v>19</v>
      </c>
      <c r="C11" s="15">
        <v>5</v>
      </c>
      <c r="D11" s="15">
        <v>17</v>
      </c>
      <c r="E11" s="15">
        <v>11.8</v>
      </c>
      <c r="F11" s="16">
        <f t="shared" si="0"/>
        <v>200.60000000000002</v>
      </c>
      <c r="G11" s="17" t="s">
        <v>20</v>
      </c>
      <c r="H11" s="21" t="s">
        <v>21</v>
      </c>
      <c r="I11" s="19">
        <v>100</v>
      </c>
      <c r="J11" s="19">
        <v>150</v>
      </c>
      <c r="K11" s="19">
        <v>70</v>
      </c>
      <c r="L11" s="29" t="s">
        <v>22</v>
      </c>
    </row>
    <row r="12" spans="2:12" ht="16.899999999999999" customHeight="1">
      <c r="B12" s="14" t="s">
        <v>23</v>
      </c>
      <c r="C12" s="15">
        <v>5</v>
      </c>
      <c r="D12" s="15">
        <v>17</v>
      </c>
      <c r="E12" s="15">
        <v>25.7</v>
      </c>
      <c r="F12" s="16">
        <f t="shared" si="0"/>
        <v>436.9</v>
      </c>
      <c r="G12" s="22" t="s">
        <v>24</v>
      </c>
      <c r="H12" s="18" t="s">
        <v>25</v>
      </c>
      <c r="I12" s="19" t="s">
        <v>26</v>
      </c>
      <c r="J12" s="19" t="s">
        <v>26</v>
      </c>
      <c r="K12" s="19" t="s">
        <v>26</v>
      </c>
      <c r="L12" s="13" t="s">
        <v>57</v>
      </c>
    </row>
    <row r="13" spans="2:12" ht="16.899999999999999" customHeight="1">
      <c r="B13" s="14" t="s">
        <v>27</v>
      </c>
      <c r="C13" s="15">
        <v>4</v>
      </c>
      <c r="D13" s="15">
        <v>14</v>
      </c>
      <c r="E13" s="15">
        <v>33.5</v>
      </c>
      <c r="F13" s="20">
        <f t="shared" si="0"/>
        <v>469</v>
      </c>
      <c r="G13" s="22" t="s">
        <v>28</v>
      </c>
      <c r="H13" s="18" t="s">
        <v>29</v>
      </c>
      <c r="I13" s="19">
        <v>264</v>
      </c>
      <c r="J13" s="19">
        <v>414</v>
      </c>
      <c r="K13" s="19">
        <v>240</v>
      </c>
      <c r="L13" s="29" t="s">
        <v>22</v>
      </c>
    </row>
    <row r="14" spans="2:12" ht="16.899999999999999" customHeight="1">
      <c r="B14" s="14" t="s">
        <v>30</v>
      </c>
      <c r="C14" s="15">
        <v>4</v>
      </c>
      <c r="D14" s="15">
        <v>14</v>
      </c>
      <c r="E14" s="15">
        <v>33.5</v>
      </c>
      <c r="F14" s="20">
        <f t="shared" si="0"/>
        <v>469</v>
      </c>
      <c r="G14" s="22" t="s">
        <v>28</v>
      </c>
      <c r="H14" s="18" t="s">
        <v>31</v>
      </c>
      <c r="I14" s="19">
        <v>264</v>
      </c>
      <c r="J14" s="19">
        <v>414</v>
      </c>
      <c r="K14" s="19">
        <v>240</v>
      </c>
      <c r="L14" s="29" t="s">
        <v>22</v>
      </c>
    </row>
    <row r="15" spans="2:12" ht="16.899999999999999" customHeight="1">
      <c r="B15" s="14" t="s">
        <v>32</v>
      </c>
      <c r="C15" s="15">
        <v>4</v>
      </c>
      <c r="D15" s="15">
        <v>28</v>
      </c>
      <c r="E15" s="15">
        <v>33.5</v>
      </c>
      <c r="F15" s="20">
        <f t="shared" si="0"/>
        <v>938</v>
      </c>
      <c r="G15" s="22" t="s">
        <v>58</v>
      </c>
      <c r="H15" s="18" t="s">
        <v>33</v>
      </c>
      <c r="I15" s="19" t="s">
        <v>26</v>
      </c>
      <c r="J15" s="19" t="s">
        <v>26</v>
      </c>
      <c r="K15" s="19" t="s">
        <v>26</v>
      </c>
      <c r="L15" s="29" t="s">
        <v>22</v>
      </c>
    </row>
    <row r="16" spans="2:12" ht="16.899999999999999" customHeight="1">
      <c r="B16" s="41" t="s">
        <v>34</v>
      </c>
      <c r="C16" s="42"/>
      <c r="D16" s="42"/>
      <c r="E16" s="42"/>
      <c r="F16" s="42"/>
      <c r="G16" s="42"/>
      <c r="H16" s="42"/>
      <c r="I16" s="42"/>
      <c r="J16" s="43"/>
      <c r="K16" s="23"/>
      <c r="L16" s="13"/>
    </row>
    <row r="17" spans="2:12" ht="16.899999999999999" customHeight="1">
      <c r="B17" s="14" t="s">
        <v>35</v>
      </c>
      <c r="C17" s="15">
        <v>5</v>
      </c>
      <c r="D17" s="15">
        <v>21</v>
      </c>
      <c r="E17" s="15">
        <v>25</v>
      </c>
      <c r="F17" s="24">
        <f>D17*E17</f>
        <v>525</v>
      </c>
      <c r="G17" s="17" t="s">
        <v>6</v>
      </c>
      <c r="H17" s="18" t="s">
        <v>36</v>
      </c>
      <c r="I17" s="19">
        <v>240</v>
      </c>
      <c r="J17" s="19">
        <v>410</v>
      </c>
      <c r="K17" s="19">
        <v>240</v>
      </c>
      <c r="L17" s="13" t="s">
        <v>57</v>
      </c>
    </row>
    <row r="18" spans="2:12" ht="16.899999999999999" customHeight="1">
      <c r="B18" s="14" t="s">
        <v>37</v>
      </c>
      <c r="C18" s="15">
        <v>5</v>
      </c>
      <c r="D18" s="15">
        <v>14</v>
      </c>
      <c r="E18" s="15">
        <v>25</v>
      </c>
      <c r="F18" s="24">
        <f>D18*E18</f>
        <v>350</v>
      </c>
      <c r="G18" s="17" t="s">
        <v>6</v>
      </c>
      <c r="H18" s="18" t="s">
        <v>9</v>
      </c>
      <c r="I18" s="19">
        <v>180</v>
      </c>
      <c r="J18" s="19">
        <v>284</v>
      </c>
      <c r="K18" s="19">
        <v>160</v>
      </c>
      <c r="L18" s="13" t="s">
        <v>57</v>
      </c>
    </row>
    <row r="19" spans="2:12" ht="16.899999999999999" customHeight="1">
      <c r="B19" s="14" t="s">
        <v>38</v>
      </c>
      <c r="C19" s="15">
        <v>5</v>
      </c>
      <c r="D19" s="15">
        <v>14</v>
      </c>
      <c r="E19" s="15">
        <v>25</v>
      </c>
      <c r="F19" s="24">
        <f t="shared" ref="F19:F26" si="1">D19*E19</f>
        <v>350</v>
      </c>
      <c r="G19" s="17" t="s">
        <v>6</v>
      </c>
      <c r="H19" s="18" t="s">
        <v>9</v>
      </c>
      <c r="I19" s="19">
        <v>180</v>
      </c>
      <c r="J19" s="19">
        <v>284</v>
      </c>
      <c r="K19" s="19">
        <v>160</v>
      </c>
      <c r="L19" s="13" t="s">
        <v>57</v>
      </c>
    </row>
    <row r="20" spans="2:12" ht="16.899999999999999" customHeight="1">
      <c r="B20" s="14" t="s">
        <v>39</v>
      </c>
      <c r="C20" s="15">
        <v>7.8</v>
      </c>
      <c r="D20" s="15">
        <v>25</v>
      </c>
      <c r="E20" s="15">
        <v>25</v>
      </c>
      <c r="F20" s="24">
        <f t="shared" si="1"/>
        <v>625</v>
      </c>
      <c r="G20" s="17" t="s">
        <v>6</v>
      </c>
      <c r="H20" s="18" t="s">
        <v>40</v>
      </c>
      <c r="I20" s="19">
        <v>350</v>
      </c>
      <c r="J20" s="19">
        <v>526</v>
      </c>
      <c r="K20" s="19">
        <v>288</v>
      </c>
      <c r="L20" s="29" t="s">
        <v>22</v>
      </c>
    </row>
    <row r="21" spans="2:12" ht="16.899999999999999" customHeight="1">
      <c r="B21" s="14" t="s">
        <v>41</v>
      </c>
      <c r="C21" s="15">
        <v>5</v>
      </c>
      <c r="D21" s="15">
        <v>28</v>
      </c>
      <c r="E21" s="15">
        <v>25</v>
      </c>
      <c r="F21" s="24">
        <f t="shared" si="1"/>
        <v>700</v>
      </c>
      <c r="G21" s="17" t="s">
        <v>12</v>
      </c>
      <c r="H21" s="18" t="s">
        <v>15</v>
      </c>
      <c r="I21" s="19">
        <v>360</v>
      </c>
      <c r="J21" s="19">
        <v>570</v>
      </c>
      <c r="K21" s="19">
        <v>280</v>
      </c>
      <c r="L21" s="13" t="s">
        <v>57</v>
      </c>
    </row>
    <row r="22" spans="2:12" ht="16.899999999999999" customHeight="1">
      <c r="B22" s="14" t="s">
        <v>42</v>
      </c>
      <c r="C22" s="15">
        <v>7.8</v>
      </c>
      <c r="D22" s="15">
        <v>39</v>
      </c>
      <c r="E22" s="15">
        <v>25</v>
      </c>
      <c r="F22" s="24">
        <f t="shared" si="1"/>
        <v>975</v>
      </c>
      <c r="G22" s="17" t="s">
        <v>12</v>
      </c>
      <c r="H22" s="18" t="s">
        <v>43</v>
      </c>
      <c r="I22" s="19">
        <v>646</v>
      </c>
      <c r="J22" s="19">
        <v>1020</v>
      </c>
      <c r="K22" s="19">
        <v>480</v>
      </c>
      <c r="L22" s="29" t="s">
        <v>22</v>
      </c>
    </row>
    <row r="23" spans="2:12" ht="16.899999999999999" customHeight="1">
      <c r="B23" s="14" t="s">
        <v>44</v>
      </c>
      <c r="C23" s="15">
        <v>5</v>
      </c>
      <c r="D23" s="15">
        <v>35</v>
      </c>
      <c r="E23" s="15">
        <v>25</v>
      </c>
      <c r="F23" s="24">
        <f t="shared" si="1"/>
        <v>875</v>
      </c>
      <c r="G23" s="17" t="s">
        <v>12</v>
      </c>
      <c r="H23" s="18" t="s">
        <v>43</v>
      </c>
      <c r="I23" s="19">
        <v>450</v>
      </c>
      <c r="J23" s="19">
        <v>716</v>
      </c>
      <c r="K23" s="19">
        <v>360</v>
      </c>
      <c r="L23" s="13" t="s">
        <v>57</v>
      </c>
    </row>
    <row r="24" spans="2:12" ht="16.899999999999999" customHeight="1">
      <c r="B24" s="14" t="s">
        <v>45</v>
      </c>
      <c r="C24" s="15">
        <v>7.8</v>
      </c>
      <c r="D24" s="15">
        <v>53</v>
      </c>
      <c r="E24" s="15">
        <v>25</v>
      </c>
      <c r="F24" s="24">
        <f t="shared" si="1"/>
        <v>1325</v>
      </c>
      <c r="G24" s="17" t="s">
        <v>12</v>
      </c>
      <c r="H24" s="18" t="s">
        <v>18</v>
      </c>
      <c r="I24" s="19">
        <v>944</v>
      </c>
      <c r="J24" s="19">
        <v>1470</v>
      </c>
      <c r="K24" s="19">
        <v>672</v>
      </c>
      <c r="L24" s="29" t="s">
        <v>22</v>
      </c>
    </row>
    <row r="25" spans="2:12" ht="16.899999999999999" customHeight="1">
      <c r="B25" s="14" t="s">
        <v>46</v>
      </c>
      <c r="C25" s="15">
        <v>5</v>
      </c>
      <c r="D25" s="15">
        <v>49</v>
      </c>
      <c r="E25" s="15">
        <v>25</v>
      </c>
      <c r="F25" s="24">
        <f t="shared" si="1"/>
        <v>1225</v>
      </c>
      <c r="G25" s="17" t="s">
        <v>17</v>
      </c>
      <c r="H25" s="18" t="s">
        <v>18</v>
      </c>
      <c r="I25" s="19">
        <v>660</v>
      </c>
      <c r="J25" s="19">
        <v>1042</v>
      </c>
      <c r="K25" s="19">
        <v>520</v>
      </c>
      <c r="L25" s="13" t="s">
        <v>57</v>
      </c>
    </row>
    <row r="26" spans="2:12" s="30" customFormat="1" ht="45">
      <c r="B26" s="31" t="s">
        <v>47</v>
      </c>
      <c r="C26" s="32">
        <v>5</v>
      </c>
      <c r="D26" s="32">
        <v>74</v>
      </c>
      <c r="E26" s="32">
        <v>25</v>
      </c>
      <c r="F26" s="33">
        <f t="shared" si="1"/>
        <v>1850</v>
      </c>
      <c r="G26" s="37" t="s">
        <v>60</v>
      </c>
      <c r="H26" s="34" t="s">
        <v>48</v>
      </c>
      <c r="I26" s="35">
        <v>1384</v>
      </c>
      <c r="J26" s="35">
        <v>2110</v>
      </c>
      <c r="K26" s="35">
        <v>1008</v>
      </c>
      <c r="L26" s="36" t="s">
        <v>59</v>
      </c>
    </row>
  </sheetData>
  <mergeCells count="3">
    <mergeCell ref="B4:J4"/>
    <mergeCell ref="B16:J16"/>
    <mergeCell ref="C2:L2"/>
  </mergeCells>
  <pageMargins left="0" right="0" top="0.25" bottom="0.25" header="0.3" footer="0.3"/>
  <pageSetup paperSize="9" scale="9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01122025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TINH DINH</cp:lastModifiedBy>
  <cp:lastPrinted>2025-12-29T07:47:10Z</cp:lastPrinted>
  <dcterms:created xsi:type="dcterms:W3CDTF">2019-08-03T06:16:00Z</dcterms:created>
  <dcterms:modified xsi:type="dcterms:W3CDTF">2026-06-05T08:54:52Z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8713B16AF1D64CDDA6285F1C15ABAFD2_12</vt:lpwstr>
  </property>
  <property fmtid="{D5CDD505-2E9C-101B-9397-08002B2CF9AE}" pid="3" name="KSOProductBuildVer">
    <vt:lpwstr>1033-12.2.0.23155</vt:lpwstr>
  </property>
</Properties>
</file>